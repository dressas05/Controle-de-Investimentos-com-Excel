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\OneDrive\Documentos\5. Cursos - Material\Excel com IA\case_resolution1\"/>
    </mc:Choice>
  </mc:AlternateContent>
  <bookViews>
    <workbookView xWindow="0" yWindow="0" windowWidth="23040" windowHeight="9072" tabRatio="385"/>
  </bookViews>
  <sheets>
    <sheet name="Simulador" sheetId="1" r:id="rId1"/>
    <sheet name="Data" sheetId="2" r:id="rId2"/>
  </sheets>
  <definedNames>
    <definedName name="aporte">Simulador!$D$17</definedName>
    <definedName name="patrimonio">Simulador!$D$20</definedName>
    <definedName name="qtd_anos">Simulador!$D$18</definedName>
    <definedName name="Rendimento_carteira">Simulador!$D$13</definedName>
    <definedName name="salario">Simulador!$D$12</definedName>
    <definedName name="sugestao_investimento">Simulador!$D$14</definedName>
    <definedName name="taxa_mensal">Simulador!$D$19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6" i="1"/>
  <c r="C37" i="1"/>
  <c r="C38" i="1"/>
  <c r="C39" i="1"/>
  <c r="C40" i="1"/>
  <c r="C35" i="1"/>
  <c r="H6" i="2"/>
  <c r="A10" i="2"/>
  <c r="A11" i="2"/>
  <c r="A12" i="2"/>
  <c r="A13" i="2"/>
  <c r="A14" i="2"/>
  <c r="A15" i="2"/>
  <c r="A16" i="2"/>
  <c r="A17" i="2"/>
  <c r="A18" i="2"/>
  <c r="A19" i="2"/>
  <c r="A20" i="2"/>
  <c r="A9" i="2"/>
  <c r="A3" i="2"/>
  <c r="A4" i="2"/>
  <c r="A5" i="2"/>
  <c r="A6" i="2"/>
  <c r="A7" i="2"/>
  <c r="A8" i="2"/>
  <c r="D39" i="1" l="1"/>
  <c r="D37" i="1"/>
  <c r="D35" i="1"/>
  <c r="D38" i="1"/>
  <c r="D36" i="1"/>
  <c r="D40" i="1"/>
  <c r="D41" i="1" l="1"/>
  <c r="D20" i="1" l="1"/>
  <c r="D21" i="1" s="1"/>
  <c r="D14" i="1"/>
  <c r="C24" i="1" l="1"/>
  <c r="D24" i="1" s="1"/>
  <c r="C25" i="1"/>
  <c r="D25" i="1" s="1"/>
  <c r="C26" i="1"/>
  <c r="D26" i="1" s="1"/>
  <c r="C27" i="1"/>
  <c r="D27" i="1" s="1"/>
  <c r="C28" i="1"/>
  <c r="D28" i="1" s="1"/>
</calcChain>
</file>

<file path=xl/sharedStrings.xml><?xml version="1.0" encoding="utf-8"?>
<sst xmlns="http://schemas.openxmlformats.org/spreadsheetml/2006/main" count="71" uniqueCount="36">
  <si>
    <t>Quanto investir por mês?</t>
  </si>
  <si>
    <t>Por quantos anos?</t>
  </si>
  <si>
    <t>Taxa de rendimento mensal?</t>
  </si>
  <si>
    <t>Quantos em 2 anos?</t>
  </si>
  <si>
    <t>Quanto em 5 anos?</t>
  </si>
  <si>
    <t>Quanto em 10 anos?</t>
  </si>
  <si>
    <t>Quanto em 20 anos?</t>
  </si>
  <si>
    <t>Quanto em 30 anos?</t>
  </si>
  <si>
    <t>Dividendos</t>
  </si>
  <si>
    <t>Salário</t>
  </si>
  <si>
    <t>Redimentos Carteira</t>
  </si>
  <si>
    <t>Sugestão de Investimentos</t>
  </si>
  <si>
    <t>CONFIGURAÇÕES</t>
  </si>
  <si>
    <t>INVESTIMENTO MENSAL</t>
  </si>
  <si>
    <t>CENÁRIOS</t>
  </si>
  <si>
    <t>Patrimônio acumulado?</t>
  </si>
  <si>
    <t>Dividendos Mensais?</t>
  </si>
  <si>
    <t>PERFIL</t>
  </si>
  <si>
    <t>Agressivo</t>
  </si>
  <si>
    <t>Moderado</t>
  </si>
  <si>
    <t>Conservador</t>
  </si>
  <si>
    <t>VALOR A SER INVESTIDO POR MÊS</t>
  </si>
  <si>
    <t>TIPO DE FII</t>
  </si>
  <si>
    <t>PORCENTUAL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</si>
  <si>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</si>
  <si>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</si>
  <si>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</si>
  <si>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</si>
  <si>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</si>
  <si>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</si>
  <si>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</si>
  <si>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FII</t>
  </si>
  <si>
    <t>Perfil</t>
  </si>
  <si>
    <t>%</t>
  </si>
  <si>
    <t>Chave</t>
  </si>
  <si>
    <t>Moderado.TIJOLO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</si>
</sst>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2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Segoe UI"/>
      <family val="2"/>
    </font>
    <font>
      <sz val="18"/>
      <color theme="2"/>
      <name val="Segoe UI"/>
      <family val="2"/>
    </font>
    <font>
      <b/>
      <sz val="14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2"/>
      <name val="Segoe UI Black"/>
      <family val="2"/>
    </font>
    <font>
      <b/>
      <sz val="14"/>
      <color theme="0"/>
      <name val="Segoe UI Black"/>
      <family val="2"/>
    </font>
    <font>
      <sz val="11"/>
      <color theme="1"/>
      <name val="Segoe UI Black"/>
      <family val="2"/>
    </font>
    <font>
      <sz val="11"/>
      <color rgb="FF002060"/>
      <name val="Segoe UI Black"/>
      <family val="2"/>
    </font>
    <font>
      <sz val="11"/>
      <color theme="1"/>
      <name val="Segoe UI Variable Text Semibold"/>
    </font>
    <font>
      <sz val="11"/>
      <color theme="2" tint="-0.749992370372631"/>
      <name val="Segoe UI Black"/>
      <family val="2"/>
    </font>
    <font>
      <sz val="12"/>
      <color theme="5"/>
      <name val="Segoe UI Black"/>
      <family val="2"/>
    </font>
    <font>
      <sz val="11"/>
      <color theme="0"/>
      <name val="Arial Black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theme="0" tint="-0.14996795556505021"/>
      </right>
      <top style="medium">
        <color indexed="64"/>
      </top>
      <bottom/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indexed="64"/>
      </top>
      <bottom/>
      <diagonal/>
    </border>
    <border>
      <left style="medium">
        <color theme="2"/>
      </left>
      <right style="medium">
        <color theme="2"/>
      </right>
      <top style="medium">
        <color indexed="64"/>
      </top>
      <bottom/>
      <diagonal/>
    </border>
    <border>
      <left style="medium">
        <color theme="2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Border="1"/>
    <xf numFmtId="0" fontId="5" fillId="0" borderId="0" xfId="0" applyFont="1"/>
    <xf numFmtId="0" fontId="8" fillId="0" borderId="4" xfId="0" applyFont="1" applyBorder="1" applyAlignment="1">
      <alignment horizontal="center"/>
    </xf>
    <xf numFmtId="10" fontId="8" fillId="0" borderId="4" xfId="2" applyNumberFormat="1" applyFont="1" applyBorder="1" applyAlignment="1">
      <alignment horizontal="center"/>
    </xf>
    <xf numFmtId="8" fontId="9" fillId="3" borderId="4" xfId="0" applyNumberFormat="1" applyFont="1" applyFill="1" applyBorder="1" applyAlignment="1">
      <alignment horizontal="center"/>
    </xf>
    <xf numFmtId="8" fontId="9" fillId="3" borderId="6" xfId="0" applyNumberFormat="1" applyFont="1" applyFill="1" applyBorder="1" applyAlignment="1">
      <alignment horizontal="center"/>
    </xf>
    <xf numFmtId="10" fontId="8" fillId="8" borderId="4" xfId="0" applyNumberFormat="1" applyFont="1" applyFill="1" applyBorder="1" applyAlignment="1">
      <alignment horizontal="center"/>
    </xf>
    <xf numFmtId="0" fontId="3" fillId="0" borderId="0" xfId="0" applyFont="1"/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/>
    <xf numFmtId="164" fontId="8" fillId="0" borderId="4" xfId="0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left" indent="2"/>
    </xf>
    <xf numFmtId="0" fontId="9" fillId="3" borderId="12" xfId="0" applyFont="1" applyFill="1" applyBorder="1" applyAlignment="1">
      <alignment horizontal="left" indent="2"/>
    </xf>
    <xf numFmtId="0" fontId="9" fillId="3" borderId="5" xfId="0" applyFont="1" applyFill="1" applyBorder="1" applyAlignment="1">
      <alignment horizontal="left" indent="2"/>
    </xf>
    <xf numFmtId="0" fontId="9" fillId="3" borderId="13" xfId="0" applyFont="1" applyFill="1" applyBorder="1" applyAlignment="1">
      <alignment horizontal="left" indent="2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vertical="center"/>
    </xf>
    <xf numFmtId="164" fontId="8" fillId="8" borderId="4" xfId="1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indent="2"/>
    </xf>
    <xf numFmtId="164" fontId="8" fillId="4" borderId="10" xfId="0" applyNumberFormat="1" applyFont="1" applyFill="1" applyBorder="1" applyAlignment="1">
      <alignment horizontal="center"/>
    </xf>
    <xf numFmtId="164" fontId="8" fillId="4" borderId="11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left" indent="2"/>
    </xf>
    <xf numFmtId="164" fontId="8" fillId="4" borderId="12" xfId="0" applyNumberFormat="1" applyFont="1" applyFill="1" applyBorder="1" applyAlignment="1">
      <alignment horizontal="center"/>
    </xf>
    <xf numFmtId="164" fontId="8" fillId="4" borderId="4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left" indent="2"/>
    </xf>
    <xf numFmtId="164" fontId="8" fillId="4" borderId="13" xfId="0" applyNumberFormat="1" applyFont="1" applyFill="1" applyBorder="1" applyAlignment="1">
      <alignment horizontal="center"/>
    </xf>
    <xf numFmtId="164" fontId="8" fillId="4" borderId="6" xfId="0" applyNumberFormat="1" applyFont="1" applyFill="1" applyBorder="1" applyAlignment="1">
      <alignment horizontal="center"/>
    </xf>
    <xf numFmtId="0" fontId="13" fillId="9" borderId="0" xfId="0" applyFont="1" applyFill="1"/>
    <xf numFmtId="0" fontId="0" fillId="0" borderId="0" xfId="0" applyAlignment="1">
      <alignment horizontal="center" vertical="center"/>
    </xf>
    <xf numFmtId="0" fontId="15" fillId="10" borderId="0" xfId="0" applyFont="1" applyFill="1" applyAlignment="1">
      <alignment horizontal="left"/>
    </xf>
    <xf numFmtId="0" fontId="0" fillId="10" borderId="0" xfId="0" applyFill="1"/>
    <xf numFmtId="0" fontId="12" fillId="3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16" fillId="9" borderId="0" xfId="0" applyFont="1" applyFill="1" applyBorder="1" applyAlignment="1">
      <alignment horizontal="left"/>
    </xf>
    <xf numFmtId="0" fontId="16" fillId="9" borderId="0" xfId="0" applyFont="1" applyFill="1" applyAlignment="1">
      <alignment horizontal="center"/>
    </xf>
    <xf numFmtId="164" fontId="14" fillId="10" borderId="0" xfId="1" applyNumberFormat="1" applyFont="1" applyFill="1" applyAlignment="1">
      <alignment horizontal="center"/>
    </xf>
    <xf numFmtId="0" fontId="17" fillId="6" borderId="19" xfId="0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4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0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/>
    </xf>
    <xf numFmtId="0" fontId="4" fillId="0" borderId="15" xfId="0" applyFont="1" applyBorder="1"/>
    <xf numFmtId="0" fontId="4" fillId="0" borderId="18" xfId="0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/>
    </xf>
    <xf numFmtId="9" fontId="18" fillId="11" borderId="0" xfId="2" applyFont="1" applyFill="1"/>
    <xf numFmtId="0" fontId="19" fillId="11" borderId="0" xfId="0" applyFont="1" applyFill="1"/>
    <xf numFmtId="0" fontId="0" fillId="0" borderId="23" xfId="0" applyBorder="1" applyAlignment="1">
      <alignment horizontal="center" vertical="center"/>
    </xf>
    <xf numFmtId="9" fontId="0" fillId="0" borderId="24" xfId="0" applyNumberFormat="1" applyBorder="1" applyAlignment="1">
      <alignment horizontal="center"/>
    </xf>
    <xf numFmtId="164" fontId="0" fillId="0" borderId="25" xfId="0" applyNumberFormat="1" applyBorder="1"/>
    <xf numFmtId="0" fontId="0" fillId="0" borderId="26" xfId="0" applyBorder="1" applyAlignment="1">
      <alignment horizontal="center" vertical="center"/>
    </xf>
    <xf numFmtId="9" fontId="0" fillId="0" borderId="27" xfId="0" applyNumberFormat="1" applyBorder="1" applyAlignment="1">
      <alignment horizontal="center"/>
    </xf>
    <xf numFmtId="164" fontId="0" fillId="0" borderId="28" xfId="0" applyNumberFormat="1" applyBorder="1"/>
    <xf numFmtId="0" fontId="0" fillId="0" borderId="29" xfId="0" applyBorder="1" applyAlignment="1">
      <alignment horizontal="center" vertical="center"/>
    </xf>
    <xf numFmtId="9" fontId="0" fillId="0" borderId="30" xfId="0" applyNumberFormat="1" applyBorder="1" applyAlignment="1">
      <alignment horizontal="center"/>
    </xf>
    <xf numFmtId="164" fontId="0" fillId="0" borderId="31" xfId="0" applyNumberFormat="1" applyBorder="1"/>
    <xf numFmtId="0" fontId="8" fillId="7" borderId="3" xfId="0" applyFont="1" applyFill="1" applyBorder="1" applyAlignment="1">
      <alignment horizontal="left" indent="2"/>
    </xf>
    <xf numFmtId="0" fontId="8" fillId="7" borderId="12" xfId="0" applyFont="1" applyFill="1" applyBorder="1" applyAlignment="1">
      <alignment horizontal="left" indent="2"/>
    </xf>
    <xf numFmtId="0" fontId="8" fillId="7" borderId="5" xfId="0" applyFont="1" applyFill="1" applyBorder="1" applyAlignment="1">
      <alignment horizontal="left" indent="2"/>
    </xf>
    <xf numFmtId="0" fontId="8" fillId="7" borderId="13" xfId="0" applyFont="1" applyFill="1" applyBorder="1" applyAlignment="1">
      <alignment horizontal="left" indent="2"/>
    </xf>
    <xf numFmtId="0" fontId="5" fillId="7" borderId="0" xfId="0" applyFont="1" applyFill="1"/>
    <xf numFmtId="164" fontId="8" fillId="7" borderId="6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8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Simulador!$B$35:$B$40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2-4025-9BD8-E0F09F1172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68580</xdr:colOff>
      <xdr:row>1</xdr:row>
      <xdr:rowOff>22384</xdr:rowOff>
    </xdr:from>
    <xdr:to>
      <xdr:col>16384</xdr:col>
      <xdr:colOff>7620</xdr:colOff>
      <xdr:row>9</xdr:row>
      <xdr:rowOff>22860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823" b="8862"/>
        <a:stretch/>
      </xdr:blipFill>
      <xdr:spPr>
        <a:xfrm>
          <a:off x="68580" y="205264"/>
          <a:ext cx="8100060" cy="1463516"/>
        </a:xfrm>
        <a:prstGeom prst="rect">
          <a:avLst/>
        </a:prstGeom>
      </xdr:spPr>
    </xdr:pic>
    <xdr:clientData/>
  </xdr:twoCellAnchor>
  <xdr:twoCellAnchor>
    <xdr:from>
      <xdr:col>0</xdr:col>
      <xdr:colOff>99060</xdr:colOff>
      <xdr:row>42</xdr:row>
      <xdr:rowOff>19050</xdr:rowOff>
    </xdr:from>
    <xdr:to>
      <xdr:col>3</xdr:col>
      <xdr:colOff>1143000</xdr:colOff>
      <xdr:row>56</xdr:row>
      <xdr:rowOff>175260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showGridLines="0" tabSelected="1" workbookViewId="0">
      <selection activeCell="C31" sqref="C31"/>
    </sheetView>
  </sheetViews>
  <sheetFormatPr defaultColWidth="0" defaultRowHeight="14.4" zeroHeight="1" x14ac:dyDescent="0.3"/>
  <cols>
    <col min="1" max="1" width="1.6640625" customWidth="1"/>
    <col min="2" max="2" width="58.33203125" customWidth="1"/>
    <col min="3" max="3" width="38.88671875" customWidth="1"/>
    <col min="4" max="4" width="17.5546875" customWidth="1"/>
    <col min="5" max="5" width="2.5546875" customWidth="1"/>
    <col min="6" max="6" width="14.6640625" hidden="1" customWidth="1"/>
    <col min="7" max="8" width="8.88671875" hidden="1" customWidth="1"/>
    <col min="9" max="10" width="10.21875" hidden="1" customWidth="1"/>
    <col min="11" max="16384" width="8.88671875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x14ac:dyDescent="0.3">
      <c r="D9" s="1"/>
    </row>
    <row r="10" spans="2:4" ht="9.6" customHeight="1" thickBot="1" x14ac:dyDescent="0.35">
      <c r="D10" s="1"/>
    </row>
    <row r="11" spans="2:4" ht="21" thickBot="1" x14ac:dyDescent="0.35">
      <c r="B11" s="17" t="s">
        <v>12</v>
      </c>
      <c r="C11" s="18"/>
      <c r="D11" s="19"/>
    </row>
    <row r="12" spans="2:4" ht="19.8" thickBot="1" x14ac:dyDescent="0.5">
      <c r="B12" s="66" t="s">
        <v>9</v>
      </c>
      <c r="C12" s="67"/>
      <c r="D12" s="20">
        <v>5000</v>
      </c>
    </row>
    <row r="13" spans="2:4" ht="19.8" thickBot="1" x14ac:dyDescent="0.5">
      <c r="B13" s="66" t="s">
        <v>10</v>
      </c>
      <c r="C13" s="67"/>
      <c r="D13" s="7">
        <v>6.0000000000000001E-3</v>
      </c>
    </row>
    <row r="14" spans="2:4" ht="19.8" thickBot="1" x14ac:dyDescent="0.5">
      <c r="B14" s="68" t="s">
        <v>11</v>
      </c>
      <c r="C14" s="69"/>
      <c r="D14" s="71">
        <f>D12*30%</f>
        <v>1500</v>
      </c>
    </row>
    <row r="15" spans="2:4" ht="18.600000000000001" customHeight="1" thickBot="1" x14ac:dyDescent="0.45">
      <c r="B15" s="70"/>
      <c r="C15" s="70"/>
      <c r="D15" s="1"/>
    </row>
    <row r="16" spans="2:4" ht="20.399999999999999" customHeight="1" thickBot="1" x14ac:dyDescent="0.65">
      <c r="B16" s="9" t="s">
        <v>13</v>
      </c>
      <c r="C16" s="10"/>
      <c r="D16" s="11"/>
    </row>
    <row r="17" spans="1:4" ht="19.8" thickBot="1" x14ac:dyDescent="0.5">
      <c r="B17" s="66" t="s">
        <v>0</v>
      </c>
      <c r="C17" s="67"/>
      <c r="D17" s="12">
        <v>500</v>
      </c>
    </row>
    <row r="18" spans="1:4" ht="19.8" thickBot="1" x14ac:dyDescent="0.5">
      <c r="B18" s="66" t="s">
        <v>1</v>
      </c>
      <c r="C18" s="67"/>
      <c r="D18" s="3">
        <v>5</v>
      </c>
    </row>
    <row r="19" spans="1:4" ht="19.8" thickBot="1" x14ac:dyDescent="0.5">
      <c r="B19" s="66" t="s">
        <v>2</v>
      </c>
      <c r="C19" s="67"/>
      <c r="D19" s="4">
        <v>1.0789999999999999E-2</v>
      </c>
    </row>
    <row r="20" spans="1:4" ht="19.8" thickBot="1" x14ac:dyDescent="0.5">
      <c r="B20" s="13" t="s">
        <v>15</v>
      </c>
      <c r="C20" s="14"/>
      <c r="D20" s="5">
        <f>FV(taxa_mensal,qtd_anos*12,aporte*-1)</f>
        <v>41888.456999243819</v>
      </c>
    </row>
    <row r="21" spans="1:4" ht="19.8" thickBot="1" x14ac:dyDescent="0.5">
      <c r="B21" s="15" t="s">
        <v>16</v>
      </c>
      <c r="C21" s="16"/>
      <c r="D21" s="6">
        <f>patrimonio*Rendimento_carteira</f>
        <v>251.33074199546292</v>
      </c>
    </row>
    <row r="22" spans="1:4" ht="17.399999999999999" customHeight="1" thickBot="1" x14ac:dyDescent="0.45">
      <c r="B22" s="2"/>
      <c r="C22" s="2"/>
    </row>
    <row r="23" spans="1:4" ht="20.399999999999999" customHeight="1" thickBot="1" x14ac:dyDescent="0.35">
      <c r="B23" s="21" t="s">
        <v>14</v>
      </c>
      <c r="C23" s="22"/>
      <c r="D23" s="23" t="s">
        <v>8</v>
      </c>
    </row>
    <row r="24" spans="1:4" ht="19.8" thickBot="1" x14ac:dyDescent="0.5">
      <c r="A24" s="8">
        <v>2</v>
      </c>
      <c r="B24" s="24" t="s">
        <v>3</v>
      </c>
      <c r="C24" s="25">
        <f>FV($D$19,A$24*12,$D$17*-1)</f>
        <v>13613.813648822608</v>
      </c>
      <c r="D24" s="26">
        <f>C24*Rendimento_carteira</f>
        <v>81.682881892935654</v>
      </c>
    </row>
    <row r="25" spans="1:4" ht="19.8" thickBot="1" x14ac:dyDescent="0.5">
      <c r="A25" s="8">
        <v>5</v>
      </c>
      <c r="B25" s="27" t="s">
        <v>4</v>
      </c>
      <c r="C25" s="28">
        <f>FV($D$19,A$25*12,$D$17*-1)</f>
        <v>41888.456999243819</v>
      </c>
      <c r="D25" s="29">
        <f>C25*Rendimento_carteira</f>
        <v>251.33074199546292</v>
      </c>
    </row>
    <row r="26" spans="1:4" ht="19.8" thickBot="1" x14ac:dyDescent="0.5">
      <c r="A26" s="8">
        <v>10</v>
      </c>
      <c r="B26" s="27" t="s">
        <v>5</v>
      </c>
      <c r="C26" s="28">
        <f>FV($D$19,A$26*12,$D$17*-1)</f>
        <v>121642.1062650861</v>
      </c>
      <c r="D26" s="29">
        <f>C26*Rendimento_carteira</f>
        <v>729.85263759051657</v>
      </c>
    </row>
    <row r="27" spans="1:4" ht="19.8" thickBot="1" x14ac:dyDescent="0.5">
      <c r="A27" s="8">
        <v>20</v>
      </c>
      <c r="B27" s="27" t="s">
        <v>6</v>
      </c>
      <c r="C27" s="28">
        <f>FV($D$19,A$27*12,$D$17*-1)</f>
        <v>562599.20004854025</v>
      </c>
      <c r="D27" s="29">
        <f>C27*Rendimento_carteira</f>
        <v>3375.5952002912418</v>
      </c>
    </row>
    <row r="28" spans="1:4" ht="19.8" thickBot="1" x14ac:dyDescent="0.5">
      <c r="A28" s="8">
        <v>30</v>
      </c>
      <c r="B28" s="30" t="s">
        <v>7</v>
      </c>
      <c r="C28" s="31">
        <f>FV($D$19,A28*12,$D$17*-1)</f>
        <v>2161084.8275023573</v>
      </c>
      <c r="D28" s="32">
        <f>C28*Rendimento_carteira</f>
        <v>12966.508965014144</v>
      </c>
    </row>
    <row r="29" spans="1:4" x14ac:dyDescent="0.3"/>
    <row r="30" spans="1:4" x14ac:dyDescent="0.3"/>
    <row r="31" spans="1:4" ht="19.2" x14ac:dyDescent="0.45">
      <c r="B31" s="40" t="s">
        <v>17</v>
      </c>
      <c r="C31" s="41" t="s">
        <v>19</v>
      </c>
      <c r="D31" s="33"/>
    </row>
    <row r="32" spans="1:4" ht="16.8" x14ac:dyDescent="0.4">
      <c r="B32" s="35" t="s">
        <v>21</v>
      </c>
      <c r="C32" s="42">
        <f>aporte</f>
        <v>500</v>
      </c>
      <c r="D32" s="36"/>
    </row>
    <row r="33" spans="2:4" x14ac:dyDescent="0.3"/>
    <row r="34" spans="2:4" ht="16.8" x14ac:dyDescent="0.4">
      <c r="B34" s="37" t="s">
        <v>22</v>
      </c>
      <c r="C34" s="37" t="s">
        <v>23</v>
      </c>
      <c r="D34" s="37" t="s">
        <v>24</v>
      </c>
    </row>
    <row r="35" spans="2:4" x14ac:dyDescent="0.3">
      <c r="B35" s="57" t="s">
        <v>25</v>
      </c>
      <c r="C35" s="58">
        <f>VLOOKUP($C$31&amp;"."&amp;B35,Data!$A:$D,4,)</f>
        <v>0.32</v>
      </c>
      <c r="D35" s="59">
        <f>C35*$C$32</f>
        <v>160</v>
      </c>
    </row>
    <row r="36" spans="2:4" x14ac:dyDescent="0.3">
      <c r="B36" s="60" t="s">
        <v>26</v>
      </c>
      <c r="C36" s="61">
        <f>VLOOKUP($C$31&amp;"."&amp;B36,Data!$A:$D,4,)</f>
        <v>0.35</v>
      </c>
      <c r="D36" s="62">
        <f t="shared" ref="D36:D40" si="0">C36*$C$32</f>
        <v>175</v>
      </c>
    </row>
    <row r="37" spans="2:4" x14ac:dyDescent="0.3">
      <c r="B37" s="60" t="s">
        <v>27</v>
      </c>
      <c r="C37" s="61">
        <f>VLOOKUP($C$31&amp;"."&amp;B37,Data!$A:$D,4,)</f>
        <v>0.08</v>
      </c>
      <c r="D37" s="62">
        <f t="shared" si="0"/>
        <v>40</v>
      </c>
    </row>
    <row r="38" spans="2:4" x14ac:dyDescent="0.3">
      <c r="B38" s="60" t="s">
        <v>28</v>
      </c>
      <c r="C38" s="61">
        <f>VLOOKUP($C$31&amp;"."&amp;B38,Data!$A:$D,4,)</f>
        <v>0.05</v>
      </c>
      <c r="D38" s="62">
        <f t="shared" si="0"/>
        <v>25</v>
      </c>
    </row>
    <row r="39" spans="2:4" x14ac:dyDescent="0.3">
      <c r="B39" s="60" t="s">
        <v>29</v>
      </c>
      <c r="C39" s="61">
        <f>VLOOKUP($C$31&amp;"."&amp;B39,Data!$A:$D,4,)</f>
        <v>0.1</v>
      </c>
      <c r="D39" s="62">
        <f t="shared" si="0"/>
        <v>50</v>
      </c>
    </row>
    <row r="40" spans="2:4" x14ac:dyDescent="0.3">
      <c r="B40" s="63" t="s">
        <v>30</v>
      </c>
      <c r="C40" s="64">
        <f>VLOOKUP($C$31&amp;"."&amp;B40,Data!$A:$D,4,)</f>
        <v>0.1</v>
      </c>
      <c r="D40" s="65">
        <f t="shared" si="0"/>
        <v>50</v>
      </c>
    </row>
    <row r="41" spans="2:4" x14ac:dyDescent="0.3">
      <c r="B41" s="38"/>
      <c r="C41" s="38"/>
      <c r="D41" s="39">
        <f>SUM(D35:D40)</f>
        <v>500</v>
      </c>
    </row>
    <row r="42" spans="2:4" x14ac:dyDescent="0.3"/>
    <row r="43" spans="2:4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</sheetData>
  <mergeCells count="11">
    <mergeCell ref="B23:C23"/>
    <mergeCell ref="B18:C18"/>
    <mergeCell ref="B19:C19"/>
    <mergeCell ref="B20:C20"/>
    <mergeCell ref="B21:C21"/>
    <mergeCell ref="B12:C12"/>
    <mergeCell ref="B13:C13"/>
    <mergeCell ref="B14:C14"/>
    <mergeCell ref="B11:C11"/>
    <mergeCell ref="B17:C17"/>
    <mergeCell ref="B16:C16"/>
  </mergeCells>
  <dataValidations count="1">
    <dataValidation type="list" allowBlank="1" showInputMessage="1" showErrorMessage="1" sqref="C31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>
      <selection activeCell="A10" sqref="A10"/>
    </sheetView>
  </sheetViews>
  <sheetFormatPr defaultRowHeight="14.4" x14ac:dyDescent="0.3"/>
  <cols>
    <col min="1" max="1" width="33.33203125" bestFit="1" customWidth="1"/>
    <col min="2" max="2" width="12.44140625" bestFit="1" customWidth="1"/>
    <col min="3" max="3" width="21" bestFit="1" customWidth="1"/>
    <col min="7" max="7" width="16.109375" bestFit="1" customWidth="1"/>
  </cols>
  <sheetData>
    <row r="1" spans="1:8" ht="15" thickBot="1" x14ac:dyDescent="0.35"/>
    <row r="2" spans="1:8" ht="23.4" customHeight="1" thickBot="1" x14ac:dyDescent="0.35">
      <c r="A2" s="43" t="s">
        <v>34</v>
      </c>
      <c r="B2" s="44" t="s">
        <v>32</v>
      </c>
      <c r="C2" s="44" t="s">
        <v>31</v>
      </c>
      <c r="D2" s="45" t="s">
        <v>33</v>
      </c>
    </row>
    <row r="3" spans="1:8" x14ac:dyDescent="0.3">
      <c r="A3" s="46" t="str">
        <f>B3&amp;"."&amp;C3</f>
        <v>Conservador.PAPEL</v>
      </c>
      <c r="B3" s="72" t="s">
        <v>20</v>
      </c>
      <c r="C3" s="47" t="s">
        <v>25</v>
      </c>
      <c r="D3" s="48">
        <v>0.3</v>
      </c>
    </row>
    <row r="4" spans="1:8" x14ac:dyDescent="0.3">
      <c r="A4" s="49" t="str">
        <f t="shared" ref="A4:A20" si="0">B4&amp;"."&amp;C4</f>
        <v>Conservador.TIJOLO</v>
      </c>
      <c r="B4" s="73" t="s">
        <v>20</v>
      </c>
      <c r="C4" s="50" t="s">
        <v>26</v>
      </c>
      <c r="D4" s="51">
        <v>0.5</v>
      </c>
    </row>
    <row r="5" spans="1:8" x14ac:dyDescent="0.3">
      <c r="A5" s="49" t="str">
        <f t="shared" si="0"/>
        <v>Conservador.HÍBRIDOS</v>
      </c>
      <c r="B5" s="73" t="s">
        <v>20</v>
      </c>
      <c r="C5" s="50" t="s">
        <v>27</v>
      </c>
      <c r="D5" s="51">
        <v>0.1</v>
      </c>
      <c r="H5" s="34" t="s">
        <v>33</v>
      </c>
    </row>
    <row r="6" spans="1:8" x14ac:dyDescent="0.3">
      <c r="A6" s="49" t="str">
        <f t="shared" si="0"/>
        <v>Conservador.FOFs</v>
      </c>
      <c r="B6" s="73" t="s">
        <v>20</v>
      </c>
      <c r="C6" s="50" t="s">
        <v>28</v>
      </c>
      <c r="D6" s="51">
        <v>0.1</v>
      </c>
      <c r="G6" s="56" t="s">
        <v>35</v>
      </c>
      <c r="H6" s="55">
        <f>VLOOKUP(G6,$A:$D,4,FALSE)</f>
        <v>0.35</v>
      </c>
    </row>
    <row r="7" spans="1:8" x14ac:dyDescent="0.3">
      <c r="A7" s="49" t="str">
        <f t="shared" si="0"/>
        <v>Conservador.DESENVOLVIMENTO</v>
      </c>
      <c r="B7" s="73" t="s">
        <v>20</v>
      </c>
      <c r="C7" s="50" t="s">
        <v>29</v>
      </c>
      <c r="D7" s="51">
        <v>0</v>
      </c>
    </row>
    <row r="8" spans="1:8" ht="15" thickBot="1" x14ac:dyDescent="0.35">
      <c r="A8" s="52" t="str">
        <f t="shared" si="0"/>
        <v>Conservador.HOTELARIAS</v>
      </c>
      <c r="B8" s="74" t="s">
        <v>20</v>
      </c>
      <c r="C8" s="53" t="s">
        <v>30</v>
      </c>
      <c r="D8" s="54">
        <v>0</v>
      </c>
    </row>
    <row r="9" spans="1:8" x14ac:dyDescent="0.3">
      <c r="A9" s="46" t="str">
        <f t="shared" si="0"/>
        <v>Moderado.PAPEL</v>
      </c>
      <c r="B9" s="72" t="s">
        <v>19</v>
      </c>
      <c r="C9" s="47" t="s">
        <v>25</v>
      </c>
      <c r="D9" s="48">
        <v>0.32</v>
      </c>
    </row>
    <row r="10" spans="1:8" x14ac:dyDescent="0.3">
      <c r="A10" s="49" t="str">
        <f t="shared" si="0"/>
        <v>Moderado.TIJOLO</v>
      </c>
      <c r="B10" s="73" t="s">
        <v>19</v>
      </c>
      <c r="C10" s="50" t="s">
        <v>26</v>
      </c>
      <c r="D10" s="51">
        <v>0.35</v>
      </c>
    </row>
    <row r="11" spans="1:8" x14ac:dyDescent="0.3">
      <c r="A11" s="49" t="str">
        <f t="shared" si="0"/>
        <v>Moderado.HÍBRIDOS</v>
      </c>
      <c r="B11" s="73" t="s">
        <v>19</v>
      </c>
      <c r="C11" s="50" t="s">
        <v>27</v>
      </c>
      <c r="D11" s="51">
        <v>0.08</v>
      </c>
    </row>
    <row r="12" spans="1:8" x14ac:dyDescent="0.3">
      <c r="A12" s="49" t="str">
        <f t="shared" si="0"/>
        <v>Moderado.FOFs</v>
      </c>
      <c r="B12" s="73" t="s">
        <v>19</v>
      </c>
      <c r="C12" s="50" t="s">
        <v>28</v>
      </c>
      <c r="D12" s="51">
        <v>0.05</v>
      </c>
    </row>
    <row r="13" spans="1:8" x14ac:dyDescent="0.3">
      <c r="A13" s="49" t="str">
        <f t="shared" si="0"/>
        <v>Moderado.DESENVOLVIMENTO</v>
      </c>
      <c r="B13" s="73" t="s">
        <v>19</v>
      </c>
      <c r="C13" s="50" t="s">
        <v>29</v>
      </c>
      <c r="D13" s="51">
        <v>0.1</v>
      </c>
    </row>
    <row r="14" spans="1:8" ht="15" thickBot="1" x14ac:dyDescent="0.35">
      <c r="A14" s="52" t="str">
        <f t="shared" si="0"/>
        <v>Moderado.HOTELARIAS</v>
      </c>
      <c r="B14" s="74" t="s">
        <v>19</v>
      </c>
      <c r="C14" s="53" t="s">
        <v>30</v>
      </c>
      <c r="D14" s="54">
        <v>0.1</v>
      </c>
    </row>
    <row r="15" spans="1:8" x14ac:dyDescent="0.3">
      <c r="A15" s="49" t="str">
        <f t="shared" si="0"/>
        <v>Agressivo.PAPEL</v>
      </c>
      <c r="B15" s="73" t="s">
        <v>18</v>
      </c>
      <c r="C15" s="50" t="s">
        <v>25</v>
      </c>
      <c r="D15" s="51">
        <v>0.5</v>
      </c>
    </row>
    <row r="16" spans="1:8" x14ac:dyDescent="0.3">
      <c r="A16" s="49" t="str">
        <f t="shared" si="0"/>
        <v>Agressivo.TIJOLO</v>
      </c>
      <c r="B16" s="73" t="s">
        <v>18</v>
      </c>
      <c r="C16" s="50" t="s">
        <v>26</v>
      </c>
      <c r="D16" s="51">
        <v>0.1</v>
      </c>
    </row>
    <row r="17" spans="1:4" x14ac:dyDescent="0.3">
      <c r="A17" s="49" t="str">
        <f t="shared" si="0"/>
        <v>Agressivo.HÍBRIDOS</v>
      </c>
      <c r="B17" s="73" t="s">
        <v>18</v>
      </c>
      <c r="C17" s="50" t="s">
        <v>27</v>
      </c>
      <c r="D17" s="51">
        <v>0.05</v>
      </c>
    </row>
    <row r="18" spans="1:4" x14ac:dyDescent="0.3">
      <c r="A18" s="49" t="str">
        <f t="shared" si="0"/>
        <v>Agressivo.FOFs</v>
      </c>
      <c r="B18" s="73" t="s">
        <v>18</v>
      </c>
      <c r="C18" s="50" t="s">
        <v>28</v>
      </c>
      <c r="D18" s="51">
        <v>0.05</v>
      </c>
    </row>
    <row r="19" spans="1:4" x14ac:dyDescent="0.3">
      <c r="A19" s="49" t="str">
        <f t="shared" si="0"/>
        <v>Agressivo.DESENVOLVIMENTO</v>
      </c>
      <c r="B19" s="73" t="s">
        <v>18</v>
      </c>
      <c r="C19" s="50" t="s">
        <v>29</v>
      </c>
      <c r="D19" s="51">
        <v>0.2</v>
      </c>
    </row>
    <row r="20" spans="1:4" ht="15" thickBot="1" x14ac:dyDescent="0.35">
      <c r="A20" s="52" t="str">
        <f t="shared" si="0"/>
        <v>Agressivo.HOTELARIAS</v>
      </c>
      <c r="B20" s="74" t="s">
        <v>18</v>
      </c>
      <c r="C20" s="53" t="s">
        <v>30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Data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Santos</dc:creator>
  <cp:lastModifiedBy>Andressa Santos</cp:lastModifiedBy>
  <dcterms:created xsi:type="dcterms:W3CDTF">2025-12-29T22:40:33Z</dcterms:created>
  <dcterms:modified xsi:type="dcterms:W3CDTF">2025-12-31T00:29:46Z</dcterms:modified>
</cp:coreProperties>
</file>